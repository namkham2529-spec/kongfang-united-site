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ทะเบียนนักกีฬา" sheetId="1" r:id="rId1"/>
    <sheet name="สรุป" sheetId="2" r:id="rId2"/>
  </sheets>
  <definedNames>
    <definedName name="_xlnm._FilterDatabase" localSheetId="0">'ทะเบียนนักกีฬา'!A1:Y3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cols>
    <col min="1" max="1" width="6.83203125" customWidth="1"/>
    <col min="2" max="2" width="16.83203125" customWidth="1"/>
    <col min="3" max="3" width="12.83203125" customWidth="1"/>
    <col min="4" max="4" width="24.83203125" customWidth="1"/>
    <col min="5" max="5" width="10.83203125" customWidth="1"/>
    <col min="6" max="6" width="13.83203125" customWidth="1"/>
    <col min="7" max="7" width="6.83203125" customWidth="1"/>
    <col min="8" max="8" width="6.83203125" customWidth="1"/>
    <col min="9" max="9" width="7.83203125" customWidth="1"/>
    <col min="10" max="10" width="14.83203125" customWidth="1"/>
    <col min="11" max="11" width="24.83203125" customWidth="1"/>
    <col min="12" max="12" width="9.83203125" customWidth="1"/>
    <col min="13" max="13" width="26.83203125" customWidth="1"/>
    <col min="14" max="14" width="24.83203125" customWidth="1"/>
    <col min="15" max="15" width="24.83203125" customWidth="1"/>
    <col min="16" max="16" width="12.83203125" customWidth="1"/>
    <col min="17" max="17" width="15.83203125" customWidth="1"/>
    <col min="18" max="18" width="18.83203125" customWidth="1"/>
    <col min="19" max="19" width="40.83203125" customWidth="1"/>
    <col min="20" max="20" width="16.83203125" customWidth="1"/>
    <col min="21" max="21" width="9.83203125" customWidth="1"/>
    <col min="22" max="22" width="9.83203125" customWidth="1"/>
    <col min="23" max="23" width="11.83203125" customWidth="1"/>
    <col min="24" max="24" width="18.83203125" customWidth="1"/>
    <col min="25" max="25" width="28.83203125" customWidth="1"/>
  </cols>
  <sheetData>
    <row r="1">
      <c r="A1" t="str">
        <v>ลำดับ</v>
      </c>
      <c r="B1" t="str">
        <v>เลขประจำตัวนักกีฬา</v>
      </c>
      <c r="C1" t="str">
        <v>วันที่สมัคร</v>
      </c>
      <c r="D1" t="str">
        <v>ชื่อ–สกุล นักกีฬา</v>
      </c>
      <c r="E1" t="str">
        <v>ชื่อเล่น</v>
      </c>
      <c r="F1" t="str">
        <v>วันเดือนปีเกิด</v>
      </c>
      <c r="G1" t="str">
        <v>อายุ</v>
      </c>
      <c r="H1" t="str">
        <v>เพศ</v>
      </c>
      <c r="I1" t="str">
        <v>รุ่น</v>
      </c>
      <c r="J1" t="str">
        <v>ตำแหน่งที่ถนัด</v>
      </c>
      <c r="K1" t="str">
        <v>โรงเรียน</v>
      </c>
      <c r="L1" t="str">
        <v>ระดับชั้น</v>
      </c>
      <c r="M1" t="str">
        <v>ประสบการณ์ฟุตบอล</v>
      </c>
      <c r="N1" t="str">
        <v>โรคประจำตัว/แพ้ยา/แพ้อาหาร</v>
      </c>
      <c r="O1" t="str">
        <v>ชื่อ–สกุล ผู้ปกครอง</v>
      </c>
      <c r="P1" t="str">
        <v>ความสัมพันธ์</v>
      </c>
      <c r="Q1" t="str">
        <v>เบอร์โทรผู้ปกครอง</v>
      </c>
      <c r="R1" t="str">
        <v>Facebook/Line</v>
      </c>
      <c r="S1" t="str">
        <v>ที่อยู่</v>
      </c>
      <c r="T1" t="str">
        <v>ทราบข่าวจาก</v>
      </c>
      <c r="U1" t="str">
        <v>เบอร์เสื้อ</v>
      </c>
      <c r="V1" t="str">
        <v>ไซส์เสื้อ</v>
      </c>
      <c r="W1" t="str">
        <v>ออกบัตรแล้ว</v>
      </c>
      <c r="X1" t="str">
        <v>ไฟล์รูปถ่าย</v>
      </c>
      <c r="Y1" t="str">
        <v>หมายเหตุ</v>
      </c>
    </row>
    <row r="2">
      <c r="A2">
        <v>1</v>
      </c>
      <c r="B2" t="str">
        <v>KFU-0001</v>
      </c>
      <c r="C2" t="str">
        <v>2026-09-01</v>
      </c>
      <c r="D2" t="str">
        <v>ตัวอย่าง เด็กดี</v>
      </c>
      <c r="E2" t="str">
        <v>ดีดี</v>
      </c>
      <c r="F2" t="str">
        <v>2015-04-12</v>
      </c>
      <c r="G2">
        <v>11</v>
      </c>
      <c r="H2" t="str">
        <v>ชาย</v>
      </c>
      <c r="I2" t="str">
        <v>U12</v>
      </c>
      <c r="J2" t="str">
        <v>กองกลาง</v>
      </c>
      <c r="K2" t="str">
        <v>โรงเรียนบ้านสระเพลง</v>
      </c>
      <c r="L2" t="str">
        <v>ป.5</v>
      </c>
      <c r="M2" t="str">
        <v>เคยเล่นทีมโรงเรียน 1 ปี</v>
      </c>
      <c r="N2" t="str">
        <v>-</v>
      </c>
      <c r="O2" t="str">
        <v>ตัวอย่าง พ่อดี</v>
      </c>
      <c r="P2" t="str">
        <v>บิดา</v>
      </c>
      <c r="Q2" t="str">
        <v>0812345678</v>
      </c>
      <c r="R2" t="str">
        <v>fb.com/example</v>
      </c>
      <c r="S2" t="str">
        <v>บ้านสระเพลง ต.สองชั้น อ.กระสัง จ.บุรีรัมย์</v>
      </c>
      <c r="T2" t="str">
        <v>Facebook</v>
      </c>
      <c r="U2">
        <v>7</v>
      </c>
      <c r="V2" t="str">
        <v>M</v>
      </c>
      <c r="W2" t="str">
        <v>ยัง</v>
      </c>
      <c r="X2" t="str">
        <v>dekdee.jpg</v>
      </c>
      <c r="Y2" t="str">
        <v>แถวตัวอย่าง — ลบได้</v>
      </c>
    </row>
    <row r="3">
      <c r="A3">
        <v>2</v>
      </c>
      <c r="B3" t="str">
        <v>KFU-0002</v>
      </c>
      <c r="C3" t="str">
        <v>2026-09-01</v>
      </c>
      <c r="D3" t="str">
        <v>ตัวอย่าง หญิงเก่ง</v>
      </c>
      <c r="E3" t="str">
        <v>เก่ง</v>
      </c>
      <c r="F3" t="str">
        <v>2016-08-03</v>
      </c>
      <c r="G3">
        <v>10</v>
      </c>
      <c r="H3" t="str">
        <v>หญิง</v>
      </c>
      <c r="I3" t="str">
        <v>U10</v>
      </c>
      <c r="J3" t="str">
        <v>กองหน้า</v>
      </c>
      <c r="K3" t="str">
        <v>โรงเรียนบ้านจอม</v>
      </c>
      <c r="L3" t="str">
        <v>ป.4</v>
      </c>
      <c r="M3" t="str">
        <v>-</v>
      </c>
      <c r="N3" t="str">
        <v>แพ้อากาศ</v>
      </c>
      <c r="O3" t="str">
        <v>ตัวอย่าง แม่เก่ง</v>
      </c>
      <c r="P3" t="str">
        <v>มารดา</v>
      </c>
      <c r="Q3" t="str">
        <v>0898765432</v>
      </c>
      <c r="R3" t="str">
        <v>line: kengja</v>
      </c>
      <c r="S3" t="str">
        <v>บ้านจอม ต.สองชั้น อ.กระสัง จ.บุรีรัมย์</v>
      </c>
      <c r="T3" t="str">
        <v>เพื่อน/ญาติแนะนำ</v>
      </c>
      <c r="U3">
        <v>9</v>
      </c>
      <c r="V3" t="str">
        <v>S</v>
      </c>
      <c r="W3" t="str">
        <v>ยัง</v>
      </c>
      <c r="X3" t="str">
        <v>yingkeng.jpg</v>
      </c>
      <c r="Y3" t="str">
        <v>แถวตัวอย่าง — ลบได้</v>
      </c>
    </row>
  </sheetData>
  <autoFilter ref="A1:Y3"/>
  <ignoredErrors>
    <ignoredError numberStoredAsText="1" sqref="A1:Y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16.83203125" customWidth="1"/>
    <col min="2" max="2" width="12.83203125" customWidth="1"/>
  </cols>
  <sheetData>
    <row r="1">
      <c r="A1" t="str">
        <v>สรุปจำนวนนักกีฬาตามรุ่น</v>
      </c>
    </row>
    <row r="2">
      <c r="A2" t="str">
        <v>รุ่น</v>
      </c>
      <c r="B2" t="str">
        <v>จำนวน (คน)</v>
      </c>
    </row>
    <row r="3">
      <c r="A3" t="str">
        <v>U8</v>
      </c>
      <c r="B3">
        <f>COUNTIF('ทะเบียนนักกีฬา'!I:I,"U8")</f>
        <v>0</v>
      </c>
    </row>
    <row r="4">
      <c r="A4" t="str">
        <v>U10</v>
      </c>
      <c r="B4">
        <f>COUNTIF('ทะเบียนนักกีฬา'!I:I,"U10")</f>
        <v>0</v>
      </c>
    </row>
    <row r="5">
      <c r="A5" t="str">
        <v>U12</v>
      </c>
      <c r="B5">
        <f>COUNTIF('ทะเบียนนักกีฬา'!I:I,"U12")</f>
        <v>0</v>
      </c>
    </row>
    <row r="6">
      <c r="A6" t="str">
        <v>U14</v>
      </c>
      <c r="B6">
        <f>COUNTIF('ทะเบียนนักกีฬา'!I:I,"U14")</f>
        <v>0</v>
      </c>
    </row>
    <row r="7">
      <c r="A7" t="str">
        <v>U16</v>
      </c>
      <c r="B7">
        <f>COUNTIF('ทะเบียนนักกีฬา'!I:I,"U16")</f>
        <v>0</v>
      </c>
    </row>
    <row r="8">
      <c r="A8" t="str">
        <v>รวมทั้งหมด</v>
      </c>
      <c r="B8">
        <f>COUNTA('ทะเบียนนักกีฬา'!D2:D100000)</f>
        <v>0</v>
      </c>
    </row>
    <row r="10">
      <c r="A10" t="str">
        <v>ออกบัตรแล้ว</v>
      </c>
      <c r="B10">
        <f>COUNTIF('ทะเบียนนักกีฬา'!W:W,"ออกแล้ว")</f>
        <v>0</v>
      </c>
    </row>
    <row r="11">
      <c r="A11" t="str">
        <v>ยังไม่ออกบัตร</v>
      </c>
      <c r="B11">
        <f>COUNTIF('ทะเบียนนักกีฬา'!W:W,"ยัง")</f>
        <v>0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ทะเบียนนักกีฬา</vt:lpstr>
      <vt:lpstr>สรุป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